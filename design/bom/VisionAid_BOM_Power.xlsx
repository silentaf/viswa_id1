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BOM" sheetId="1" state="visible" r:id="rId1"/>
    <sheet xmlns:r="http://schemas.openxmlformats.org/officeDocument/2006/relationships" name="Power 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392B"/>
    </font>
    <font>
      <b val="1"/>
      <color rgb="00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5" customWidth="1" min="4" max="4"/>
    <col width="16" customWidth="1" min="5" max="5"/>
    <col width="16" customWidth="1" min="6" max="6"/>
    <col width="12" customWidth="1" min="7" max="7"/>
    <col width="44" customWidth="1" min="8" max="8"/>
    <col width="26" customWidth="1" min="9" max="9"/>
    <col width="11" customWidth="1" min="10" max="10"/>
  </cols>
  <sheetData>
    <row r="1">
      <c r="A1" s="1" t="inlineStr">
        <is>
          <t>VisionAid prototype BOM (Stage 2 design). Quote = listing checked 8 Oct 2026; Estimate = verify before ordering.</t>
        </is>
      </c>
    </row>
    <row r="2">
      <c r="A2" s="2" t="inlineStr">
        <is>
          <t>Group</t>
        </is>
      </c>
      <c r="B2" s="2" t="inlineStr">
        <is>
          <t>Item</t>
        </is>
      </c>
      <c r="C2" s="2" t="inlineStr">
        <is>
          <t>Part / specification</t>
        </is>
      </c>
      <c r="D2" s="2" t="inlineStr">
        <is>
          <t>Qty</t>
        </is>
      </c>
      <c r="E2" s="2" t="inlineStr">
        <is>
          <t>Unit price (INR)</t>
        </is>
      </c>
      <c r="F2" s="2" t="inlineStr">
        <is>
          <t>Line total (INR)</t>
        </is>
      </c>
      <c r="G2" s="2" t="inlineStr">
        <is>
          <t>Price basis</t>
        </is>
      </c>
      <c r="H2" s="2" t="inlineStr">
        <is>
          <t>Source</t>
        </is>
      </c>
      <c r="I2" s="2" t="inlineStr">
        <is>
          <t>Origin</t>
        </is>
      </c>
      <c r="J2" s="2" t="inlineStr">
        <is>
          <t>Lead time</t>
        </is>
      </c>
    </row>
    <row r="3">
      <c r="A3" t="inlineStr">
        <is>
          <t>Compute</t>
        </is>
      </c>
      <c r="B3" t="inlineStr">
        <is>
          <t>AI computer</t>
        </is>
      </c>
      <c r="C3" t="inlineStr">
        <is>
          <t>Raspberry Pi 5, 4 GB</t>
        </is>
      </c>
      <c r="D3" t="n">
        <v>1</v>
      </c>
      <c r="E3" t="n">
        <v>12000</v>
      </c>
      <c r="F3">
        <f>D3*E3</f>
        <v/>
      </c>
      <c r="G3" t="inlineStr">
        <is>
          <t>Quote</t>
        </is>
      </c>
      <c r="H3" t="inlineStr">
        <is>
          <t>KSP Electronics listing (in stock); guides quote 5.5-7.5k</t>
        </is>
      </c>
      <c r="I3" t="inlineStr">
        <is>
          <t>Imported, local distributor</t>
        </is>
      </c>
      <c r="J3" t="inlineStr">
        <is>
          <t>2-4 days</t>
        </is>
      </c>
    </row>
    <row r="4">
      <c r="A4" t="inlineStr">
        <is>
          <t>Compute</t>
        </is>
      </c>
      <c r="B4" t="inlineStr">
        <is>
          <t>Active cooler</t>
        </is>
      </c>
      <c r="C4" t="inlineStr">
        <is>
          <t>Raspberry Pi 5 Active Cooler</t>
        </is>
      </c>
      <c r="D4" t="n">
        <v>1</v>
      </c>
      <c r="E4" t="n">
        <v>550</v>
      </c>
      <c r="F4">
        <f>D4*E4</f>
        <v/>
      </c>
      <c r="G4" t="inlineStr">
        <is>
          <t>Estimate</t>
        </is>
      </c>
      <c r="H4" t="inlineStr">
        <is>
          <t>Thingbits / Robocraze</t>
        </is>
      </c>
      <c r="I4" t="inlineStr">
        <is>
          <t>Imported, local distributor</t>
        </is>
      </c>
      <c r="J4" t="inlineStr">
        <is>
          <t>2-4 days</t>
        </is>
      </c>
    </row>
    <row r="5">
      <c r="A5" t="inlineStr">
        <is>
          <t>Compute</t>
        </is>
      </c>
      <c r="B5" t="inlineStr">
        <is>
          <t>Storage</t>
        </is>
      </c>
      <c r="C5" t="inlineStr">
        <is>
          <t>64 GB microSD, A2</t>
        </is>
      </c>
      <c r="D5" t="n">
        <v>1</v>
      </c>
      <c r="E5" t="n">
        <v>700</v>
      </c>
      <c r="F5">
        <f>D5*E5</f>
        <v/>
      </c>
      <c r="G5" t="inlineStr">
        <is>
          <t>Estimate</t>
        </is>
      </c>
      <c r="H5" t="inlineStr">
        <is>
          <t>Local / Amazon.in</t>
        </is>
      </c>
      <c r="I5" t="inlineStr">
        <is>
          <t>Local</t>
        </is>
      </c>
      <c r="J5" t="inlineStr">
        <is>
          <t>1-3 days</t>
        </is>
      </c>
    </row>
    <row r="6">
      <c r="A6" t="inlineStr">
        <is>
          <t>Compute</t>
        </is>
      </c>
      <c r="B6" t="inlineStr">
        <is>
          <t>FPGA safety island</t>
        </is>
      </c>
      <c r="C6" t="inlineStr">
        <is>
          <t>Sipeed Tang Nano 9K (GW1NR-9)</t>
        </is>
      </c>
      <c r="D6" t="n">
        <v>1</v>
      </c>
      <c r="E6" t="n">
        <v>2149</v>
      </c>
      <c r="F6">
        <f>D6*E6</f>
        <v/>
      </c>
      <c r="G6" t="inlineStr">
        <is>
          <t>Quote</t>
        </is>
      </c>
      <c r="H6" t="inlineStr">
        <is>
          <t>Probots.co.in (incl. GST)</t>
        </is>
      </c>
      <c r="I6" t="inlineStr">
        <is>
          <t>Imported, local distributor</t>
        </is>
      </c>
      <c r="J6" t="inlineStr">
        <is>
          <t>1-3 days</t>
        </is>
      </c>
    </row>
    <row r="7">
      <c r="A7" t="inlineStr">
        <is>
          <t>Sensing</t>
        </is>
      </c>
      <c r="B7" t="inlineStr">
        <is>
          <t>Camera</t>
        </is>
      </c>
      <c r="C7" t="inlineStr">
        <is>
          <t>Raspberry Pi Camera Module 3 (standard, autofocus)</t>
        </is>
      </c>
      <c r="D7" t="n">
        <v>1</v>
      </c>
      <c r="E7" t="n">
        <v>3250</v>
      </c>
      <c r="F7">
        <f>D7*E7</f>
        <v/>
      </c>
      <c r="G7" t="inlineStr">
        <is>
          <t>Quote</t>
        </is>
      </c>
      <c r="H7" t="inlineStr">
        <is>
          <t>Thingbits.in</t>
        </is>
      </c>
      <c r="I7" t="inlineStr">
        <is>
          <t>Imported, local distributor</t>
        </is>
      </c>
      <c r="J7" t="inlineStr">
        <is>
          <t>2-4 days</t>
        </is>
      </c>
    </row>
    <row r="8">
      <c r="A8" t="inlineStr">
        <is>
          <t>Sensing</t>
        </is>
      </c>
      <c r="B8" t="inlineStr">
        <is>
          <t>Camera cable</t>
        </is>
      </c>
      <c r="C8" t="inlineStr">
        <is>
          <t>Pi 5 camera FFC 22-15 pin, 300 mm</t>
        </is>
      </c>
      <c r="D8" t="n">
        <v>1</v>
      </c>
      <c r="E8" t="n">
        <v>200</v>
      </c>
      <c r="F8">
        <f>D8*E8</f>
        <v/>
      </c>
      <c r="G8" t="inlineStr">
        <is>
          <t>Estimate</t>
        </is>
      </c>
      <c r="H8" t="inlineStr">
        <is>
          <t>Robu / Thingbits</t>
        </is>
      </c>
      <c r="I8" t="inlineStr">
        <is>
          <t>Imported, local distributor</t>
        </is>
      </c>
      <c r="J8" t="inlineStr">
        <is>
          <t>2-4 days</t>
        </is>
      </c>
    </row>
    <row r="9">
      <c r="A9" t="inlineStr">
        <is>
          <t>Sensing</t>
        </is>
      </c>
      <c r="B9" t="inlineStr">
        <is>
          <t>Ultrasonic sensor</t>
        </is>
      </c>
      <c r="C9" t="inlineStr">
        <is>
          <t>RCWL-1601 (3.3 V, HC-SR04 pin-out), incl. 1 spare</t>
        </is>
      </c>
      <c r="D9" t="n">
        <v>4</v>
      </c>
      <c r="E9" t="n">
        <v>150</v>
      </c>
      <c r="F9">
        <f>D9*E9</f>
        <v/>
      </c>
      <c r="G9" t="inlineStr">
        <is>
          <t>Estimate</t>
        </is>
      </c>
      <c r="H9" t="inlineStr">
        <is>
          <t>Robu / Probots</t>
        </is>
      </c>
      <c r="I9" t="inlineStr">
        <is>
          <t>Imported, local distributor</t>
        </is>
      </c>
      <c r="J9" t="inlineStr">
        <is>
          <t>2-4 days</t>
        </is>
      </c>
    </row>
    <row r="10">
      <c r="A10" t="inlineStr">
        <is>
          <t>Sensing</t>
        </is>
      </c>
      <c r="B10" t="inlineStr">
        <is>
          <t>Drop-off LiDAR</t>
        </is>
      </c>
      <c r="C10" t="inlineStr">
        <is>
          <t>Benewake TF-Luna (0.2-8 m, UART)</t>
        </is>
      </c>
      <c r="D10" t="n">
        <v>1</v>
      </c>
      <c r="E10" t="n">
        <v>2118</v>
      </c>
      <c r="F10">
        <f>D10*E10</f>
        <v/>
      </c>
      <c r="G10" t="inlineStr">
        <is>
          <t>Quote</t>
        </is>
      </c>
      <c r="H10" t="inlineStr">
        <is>
          <t>Probots.co.in (incl. GST)</t>
        </is>
      </c>
      <c r="I10" t="inlineStr">
        <is>
          <t>Imported, local distributor</t>
        </is>
      </c>
      <c r="J10" t="inlineStr">
        <is>
          <t>1-3 days</t>
        </is>
      </c>
    </row>
    <row r="11">
      <c r="A11" t="inlineStr">
        <is>
          <t>Sensing</t>
        </is>
      </c>
      <c r="B11" t="inlineStr">
        <is>
          <t>IMU</t>
        </is>
      </c>
      <c r="C11" t="inlineStr">
        <is>
          <t>MPU-6050 (GY-521) module</t>
        </is>
      </c>
      <c r="D11" t="n">
        <v>1</v>
      </c>
      <c r="E11" t="n">
        <v>200</v>
      </c>
      <c r="F11">
        <f>D11*E11</f>
        <v/>
      </c>
      <c r="G11" t="inlineStr">
        <is>
          <t>Estimate</t>
        </is>
      </c>
      <c r="H11" t="inlineStr">
        <is>
          <t>Robu</t>
        </is>
      </c>
      <c r="I11" t="inlineStr">
        <is>
          <t>Local</t>
        </is>
      </c>
      <c r="J11" t="inlineStr">
        <is>
          <t>2-4 days</t>
        </is>
      </c>
    </row>
    <row r="12">
      <c r="A12" t="inlineStr">
        <is>
          <t>Feedback</t>
        </is>
      </c>
      <c r="B12" t="inlineStr">
        <is>
          <t>Haptic motors</t>
        </is>
      </c>
      <c r="C12" t="inlineStr">
        <is>
          <t>10 mm coin ERM, 3 V</t>
        </is>
      </c>
      <c r="D12" t="n">
        <v>2</v>
      </c>
      <c r="E12" t="n">
        <v>60</v>
      </c>
      <c r="F12">
        <f>D12*E12</f>
        <v/>
      </c>
      <c r="G12" t="inlineStr">
        <is>
          <t>Estimate</t>
        </is>
      </c>
      <c r="H12" t="inlineStr">
        <is>
          <t>Robu</t>
        </is>
      </c>
      <c r="I12" t="inlineStr">
        <is>
          <t>Local</t>
        </is>
      </c>
      <c r="J12" t="inlineStr">
        <is>
          <t>2-4 days</t>
        </is>
      </c>
    </row>
    <row r="13">
      <c r="A13" t="inlineStr">
        <is>
          <t>Feedback</t>
        </is>
      </c>
      <c r="B13" t="inlineStr">
        <is>
          <t>Audio</t>
        </is>
      </c>
      <c r="C13" t="inlineStr">
        <is>
          <t>Bluetooth bone-conduction headset (budget)</t>
        </is>
      </c>
      <c r="D13" t="n">
        <v>1</v>
      </c>
      <c r="E13" t="n">
        <v>2000</v>
      </c>
      <c r="F13">
        <f>D13*E13</f>
        <v/>
      </c>
      <c r="G13" t="inlineStr">
        <is>
          <t>Estimate</t>
        </is>
      </c>
      <c r="H13" t="inlineStr">
        <is>
          <t>Amazon.in</t>
        </is>
      </c>
      <c r="I13" t="inlineStr">
        <is>
          <t>Imported</t>
        </is>
      </c>
      <c r="J13" t="inlineStr">
        <is>
          <t>2-5 days</t>
        </is>
      </c>
    </row>
    <row r="14">
      <c r="A14" t="inlineStr">
        <is>
          <t>Power</t>
        </is>
      </c>
      <c r="B14" t="inlineStr">
        <is>
          <t>Battery</t>
        </is>
      </c>
      <c r="C14" t="inlineStr">
        <is>
          <t>10,000 mAh USB-C power bank, BIS-certified</t>
        </is>
      </c>
      <c r="D14" t="n">
        <v>1</v>
      </c>
      <c r="E14" t="n">
        <v>1200</v>
      </c>
      <c r="F14">
        <f>D14*E14</f>
        <v/>
      </c>
      <c r="G14" t="inlineStr">
        <is>
          <t>Estimate</t>
        </is>
      </c>
      <c r="H14" t="inlineStr">
        <is>
          <t>Amazon.in / local</t>
        </is>
      </c>
      <c r="I14" t="inlineStr">
        <is>
          <t>Local brand</t>
        </is>
      </c>
      <c r="J14" t="inlineStr">
        <is>
          <t>1-3 days</t>
        </is>
      </c>
    </row>
    <row r="15">
      <c r="A15" t="inlineStr">
        <is>
          <t>Carrier PCB</t>
        </is>
      </c>
      <c r="B15" t="inlineStr">
        <is>
          <t>PCB fabrication</t>
        </is>
      </c>
      <c r="C15" t="inlineStr">
        <is>
          <t>2-layer FR-4 85 x 56 mm, 5 pcs (this design)</t>
        </is>
      </c>
      <c r="D15" t="n">
        <v>1</v>
      </c>
      <c r="E15" t="n">
        <v>2000</v>
      </c>
      <c r="F15">
        <f>D15*E15</f>
        <v/>
      </c>
      <c r="G15" t="inlineStr">
        <is>
          <t>Estimate</t>
        </is>
      </c>
      <c r="H15" t="inlineStr">
        <is>
          <t>LionCircuits (Bengaluru)</t>
        </is>
      </c>
      <c r="I15" t="inlineStr">
        <is>
          <t>Domestic fab</t>
        </is>
      </c>
      <c r="J15" t="inlineStr">
        <is>
          <t>5-7 days</t>
        </is>
      </c>
    </row>
    <row r="16">
      <c r="A16" t="inlineStr">
        <is>
          <t>Carrier PCB</t>
        </is>
      </c>
      <c r="B16" t="inlineStr">
        <is>
          <t>SMD parts</t>
        </is>
      </c>
      <c r="C16" t="inlineStr">
        <is>
          <t>AMS1117, AO3400A x3, SS14, 1N4148W x3, R/C/LED, PTC (see KiCad BOM)</t>
        </is>
      </c>
      <c r="D16" t="n">
        <v>1</v>
      </c>
      <c r="E16" t="n">
        <v>500</v>
      </c>
      <c r="F16">
        <f>D16*E16</f>
        <v/>
      </c>
      <c r="G16" t="inlineStr">
        <is>
          <t>Estimate</t>
        </is>
      </c>
      <c r="H16" t="inlineStr">
        <is>
          <t>Robu / Probots</t>
        </is>
      </c>
      <c r="I16" t="inlineStr">
        <is>
          <t>Local</t>
        </is>
      </c>
      <c r="J16" t="inlineStr">
        <is>
          <t>2-4 days</t>
        </is>
      </c>
    </row>
    <row r="17">
      <c r="A17" t="inlineStr">
        <is>
          <t>Carrier PCB</t>
        </is>
      </c>
      <c r="B17" t="inlineStr">
        <is>
          <t>Connectors</t>
        </is>
      </c>
      <c r="C17" t="inlineStr">
        <is>
          <t>JST-XH sockets + housings + crimps, 2x20 header, 2x 1x24 sockets, buzzer</t>
        </is>
      </c>
      <c r="D17" t="n">
        <v>1</v>
      </c>
      <c r="E17" t="n">
        <v>600</v>
      </c>
      <c r="F17">
        <f>D17*E17</f>
        <v/>
      </c>
      <c r="G17" t="inlineStr">
        <is>
          <t>Estimate</t>
        </is>
      </c>
      <c r="H17" t="inlineStr">
        <is>
          <t>Robu</t>
        </is>
      </c>
      <c r="I17" t="inlineStr">
        <is>
          <t>Local</t>
        </is>
      </c>
      <c r="J17" t="inlineStr">
        <is>
          <t>2-4 days</t>
        </is>
      </c>
    </row>
    <row r="18">
      <c r="A18" t="inlineStr">
        <is>
          <t>Carrier PCB</t>
        </is>
      </c>
      <c r="B18" t="inlineStr">
        <is>
          <t>Ribbon</t>
        </is>
      </c>
      <c r="C18" t="inlineStr">
        <is>
          <t>40-way IDC ribbon, 2 sockets, ~10 cm</t>
        </is>
      </c>
      <c r="D18" t="n">
        <v>1</v>
      </c>
      <c r="E18" t="n">
        <v>150</v>
      </c>
      <c r="F18">
        <f>D18*E18</f>
        <v/>
      </c>
      <c r="G18" t="inlineStr">
        <is>
          <t>Estimate</t>
        </is>
      </c>
      <c r="H18" t="inlineStr">
        <is>
          <t>Robu</t>
        </is>
      </c>
      <c r="I18" t="inlineStr">
        <is>
          <t>Local</t>
        </is>
      </c>
      <c r="J18" t="inlineStr">
        <is>
          <t>2-4 days</t>
        </is>
      </c>
    </row>
    <row r="19">
      <c r="A19" t="inlineStr">
        <is>
          <t>Mechanical</t>
        </is>
      </c>
      <c r="B19" t="inlineStr">
        <is>
          <t>Filament</t>
        </is>
      </c>
      <c r="C19" t="inlineStr">
        <is>
          <t>PETG 1 kg (enclosure ~140 g solid volume)</t>
        </is>
      </c>
      <c r="D19" t="n">
        <v>1</v>
      </c>
      <c r="E19" t="n">
        <v>1200</v>
      </c>
      <c r="F19">
        <f>D19*E19</f>
        <v/>
      </c>
      <c r="G19" t="inlineStr">
        <is>
          <t>Estimate</t>
        </is>
      </c>
      <c r="H19" t="inlineStr">
        <is>
          <t>Robu / Amazon.in</t>
        </is>
      </c>
      <c r="I19" t="inlineStr">
        <is>
          <t>Local</t>
        </is>
      </c>
      <c r="J19" t="inlineStr">
        <is>
          <t>2-4 days</t>
        </is>
      </c>
    </row>
    <row r="20">
      <c r="A20" t="inlineStr">
        <is>
          <t>Mechanical</t>
        </is>
      </c>
      <c r="B20" t="inlineStr">
        <is>
          <t>Fasteners</t>
        </is>
      </c>
      <c r="C20" t="inlineStr">
        <is>
          <t>M2.5 x 20 mm standoffs x4, M3 heat-set inserts, M2.5/M3 screws</t>
        </is>
      </c>
      <c r="D20" t="n">
        <v>1</v>
      </c>
      <c r="E20" t="n">
        <v>400</v>
      </c>
      <c r="F20">
        <f>D20*E20</f>
        <v/>
      </c>
      <c r="G20" t="inlineStr">
        <is>
          <t>Estimate</t>
        </is>
      </c>
      <c r="H20" t="inlineStr">
        <is>
          <t>Robu</t>
        </is>
      </c>
      <c r="I20" t="inlineStr">
        <is>
          <t>Local</t>
        </is>
      </c>
      <c r="J20" t="inlineStr">
        <is>
          <t>2-4 days</t>
        </is>
      </c>
    </row>
    <row r="21">
      <c r="A21" t="inlineStr">
        <is>
          <t>Mechanical</t>
        </is>
      </c>
      <c r="B21" t="inlineStr">
        <is>
          <t>Chest harness</t>
        </is>
      </c>
      <c r="C21" t="inlineStr">
        <is>
          <t>GoPro-style chest harness + M5 thumb screw</t>
        </is>
      </c>
      <c r="D21" t="n">
        <v>1</v>
      </c>
      <c r="E21" t="n">
        <v>600</v>
      </c>
      <c r="F21">
        <f>D21*E21</f>
        <v/>
      </c>
      <c r="G21" t="inlineStr">
        <is>
          <t>Estimate</t>
        </is>
      </c>
      <c r="H21" t="inlineStr">
        <is>
          <t>Amazon.in</t>
        </is>
      </c>
      <c r="I21" t="inlineStr">
        <is>
          <t>Imported</t>
        </is>
      </c>
      <c r="J21" t="inlineStr">
        <is>
          <t>2-5 days</t>
        </is>
      </c>
    </row>
    <row r="22">
      <c r="A22" t="inlineStr">
        <is>
          <t>Mechanical</t>
        </is>
      </c>
      <c r="B22" t="inlineStr">
        <is>
          <t>Buttons</t>
        </is>
      </c>
      <c r="C22" t="inlineStr">
        <is>
          <t>3 x 12 mm tactile buttons with caps (READ / MODE / QUIET)</t>
        </is>
      </c>
      <c r="D22" t="n">
        <v>1</v>
      </c>
      <c r="E22" t="n">
        <v>150</v>
      </c>
      <c r="F22">
        <f>D22*E22</f>
        <v/>
      </c>
      <c r="G22" t="inlineStr">
        <is>
          <t>Estimate</t>
        </is>
      </c>
      <c r="H22" t="inlineStr">
        <is>
          <t>Robu</t>
        </is>
      </c>
      <c r="I22" t="inlineStr">
        <is>
          <t>Local</t>
        </is>
      </c>
      <c r="J22" t="inlineStr">
        <is>
          <t>2-4 days</t>
        </is>
      </c>
    </row>
    <row r="24">
      <c r="A24" t="inlineStr"/>
      <c r="B24" s="3" t="inlineStr">
        <is>
          <t>TOTAL</t>
        </is>
      </c>
      <c r="C24" t="inlineStr"/>
      <c r="D24" t="inlineStr"/>
      <c r="E24" t="inlineStr"/>
      <c r="F24" s="3">
        <f>SUM(F3:F22)</f>
        <v/>
      </c>
    </row>
    <row r="25">
      <c r="A25" t="inlineStr"/>
      <c r="B25" s="3" t="inlineStr">
        <is>
          <t>Quoted items subtotal</t>
        </is>
      </c>
      <c r="C25" t="inlineStr"/>
      <c r="D25" t="inlineStr"/>
      <c r="E25" t="inlineStr"/>
      <c r="F25" s="3">
        <f>SUMIF(G3:G22,"Quote",F3:F22)</f>
        <v/>
      </c>
    </row>
    <row r="26">
      <c r="A26" t="inlineStr"/>
      <c r="B26" s="3" t="inlineStr">
        <is>
          <t>Grant</t>
        </is>
      </c>
      <c r="C26" t="inlineStr"/>
      <c r="D26" t="inlineStr"/>
      <c r="E26" t="inlineStr"/>
      <c r="F26" s="3" t="n">
        <v>30000</v>
      </c>
    </row>
    <row r="27">
      <c r="A27" t="inlineStr"/>
      <c r="B27" s="3" t="inlineStr">
        <is>
          <t>Reserve (grant - total)</t>
        </is>
      </c>
      <c r="C27" t="inlineStr"/>
      <c r="D27" t="inlineStr"/>
      <c r="E27" t="inlineStr"/>
      <c r="F27" s="3">
        <f>F26-F24</f>
        <v/>
      </c>
    </row>
    <row r="29">
      <c r="A29" t="inlineStr"/>
      <c r="B29" s="4" t="inlineStr">
        <is>
          <t>BUDGET RULE</t>
        </is>
      </c>
      <c r="C29" t="inlineStr">
        <is>
          <t>At the highest Pi 5 quote (INR 12,000) the build is ~INR 700 over the grant. At the INR 5,500-7,500 distributor price it is ~INR 24-26k. Rule: buy the Pi 5 4 GB only at &lt;= INR 9,000, otherwise a Pi 4 4 GB (lower AI frame rate, same design).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13" customWidth="1" min="3" max="3"/>
    <col width="12" customWidth="1" min="4" max="4"/>
    <col width="11" customWidth="1" min="5" max="5"/>
    <col width="52" customWidth="1" min="6" max="6"/>
  </cols>
  <sheetData>
    <row r="1">
      <c r="A1" t="inlineStr">
        <is>
          <t>VisionAid power budget - DESIGN ESTIMATE (not measured). Verify in Stage 3 with a USB-C power meter.</t>
        </is>
      </c>
    </row>
    <row r="2">
      <c r="A2" s="2" t="inlineStr">
        <is>
          <t>Block</t>
        </is>
      </c>
      <c r="B2" s="2" t="inlineStr">
        <is>
          <t>Rail</t>
        </is>
      </c>
      <c r="C2" s="2" t="inlineStr">
        <is>
          <t>Current (mA)</t>
        </is>
      </c>
      <c r="D2" s="2" t="inlineStr">
        <is>
          <t>Voltage (V)</t>
        </is>
      </c>
      <c r="E2" s="2" t="inlineStr">
        <is>
          <t>Power (W)</t>
        </is>
      </c>
      <c r="F2" s="2" t="inlineStr">
        <is>
          <t>Basis</t>
        </is>
      </c>
    </row>
    <row r="3">
      <c r="A3" t="inlineStr">
        <is>
          <t>Raspberry Pi 5 (camera + YOLO running)</t>
        </is>
      </c>
      <c r="B3" t="inlineStr">
        <is>
          <t>5 V</t>
        </is>
      </c>
      <c r="D3" t="n">
        <v>5</v>
      </c>
      <c r="E3" t="n">
        <v>6</v>
      </c>
      <c r="F3" t="inlineStr">
        <is>
          <t>Assumption - to be measured (Stage 3, USB-C meter)</t>
        </is>
      </c>
    </row>
    <row r="4">
      <c r="A4" t="inlineStr">
        <is>
          <t>Camera Module 3</t>
        </is>
      </c>
      <c r="B4" t="inlineStr">
        <is>
          <t>Pi</t>
        </is>
      </c>
      <c r="D4" t="n">
        <v>3.3</v>
      </c>
      <c r="E4" t="n">
        <v>0.25</v>
      </c>
      <c r="F4" t="inlineStr">
        <is>
          <t>Assumption</t>
        </is>
      </c>
    </row>
    <row r="5">
      <c r="A5" t="inlineStr">
        <is>
          <t>Tang Nano 9K (FPGA + on-board USB bridge)</t>
        </is>
      </c>
      <c r="B5" t="inlineStr">
        <is>
          <t>5 V</t>
        </is>
      </c>
      <c r="C5" t="n">
        <v>80</v>
      </c>
      <c r="D5" t="n">
        <v>5</v>
      </c>
      <c r="E5">
        <f>C5*D5/1000</f>
        <v/>
      </c>
      <c r="F5" t="inlineStr">
        <is>
          <t>Assumption</t>
        </is>
      </c>
    </row>
    <row r="6">
      <c r="A6" t="inlineStr">
        <is>
          <t>TF-Luna LiDAR</t>
        </is>
      </c>
      <c r="B6" t="inlineStr">
        <is>
          <t>5 V</t>
        </is>
      </c>
      <c r="C6" t="n">
        <v>70</v>
      </c>
      <c r="D6" t="n">
        <v>5</v>
      </c>
      <c r="E6">
        <f>C6*D6/1000</f>
        <v/>
      </c>
      <c r="F6" t="inlineStr">
        <is>
          <t>Datasheet: average current &lt;= 70 mA</t>
        </is>
      </c>
    </row>
    <row r="7">
      <c r="A7" t="inlineStr">
        <is>
          <t>3 x RCWL-1601 ultrasonic</t>
        </is>
      </c>
      <c r="B7" t="inlineStr">
        <is>
          <t>3.3 V</t>
        </is>
      </c>
      <c r="C7" t="n">
        <v>9</v>
      </c>
      <c r="D7" t="n">
        <v>3.3</v>
      </c>
      <c r="E7">
        <f>C7*D7/1000</f>
        <v/>
      </c>
      <c r="F7" t="inlineStr">
        <is>
          <t>Assumption (~3 mA each)</t>
        </is>
      </c>
    </row>
    <row r="8">
      <c r="A8" t="inlineStr">
        <is>
          <t>2 x coin motors (30 % activity)</t>
        </is>
      </c>
      <c r="B8" t="inlineStr">
        <is>
          <t>3.3 V</t>
        </is>
      </c>
      <c r="C8" t="n">
        <v>50</v>
      </c>
      <c r="D8" t="n">
        <v>3.3</v>
      </c>
      <c r="E8">
        <f>C8*D8/1000</f>
        <v/>
      </c>
      <c r="F8" t="inlineStr">
        <is>
          <t>Assumption (~80 mA each when on)</t>
        </is>
      </c>
    </row>
    <row r="9">
      <c r="A9" t="inlineStr">
        <is>
          <t>MPU-6050 IMU</t>
        </is>
      </c>
      <c r="B9" t="inlineStr">
        <is>
          <t>3.3 V</t>
        </is>
      </c>
      <c r="C9" t="n">
        <v>4</v>
      </c>
      <c r="D9" t="n">
        <v>3.3</v>
      </c>
      <c r="E9">
        <f>C9*D9/1000</f>
        <v/>
      </c>
      <c r="F9" t="inlineStr">
        <is>
          <t>Datasheet-level estimate</t>
        </is>
      </c>
    </row>
    <row r="10">
      <c r="A10" t="inlineStr">
        <is>
          <t>AMS1117 loss (5 V -&gt; 3.3 V, ~65 mA avg)</t>
        </is>
      </c>
      <c r="B10" t="inlineStr">
        <is>
          <t>5 V</t>
        </is>
      </c>
      <c r="E10" t="n">
        <v>0.11</v>
      </c>
      <c r="F10" t="inlineStr">
        <is>
          <t>(5 - 3.3) V x 65 mA</t>
        </is>
      </c>
    </row>
    <row r="11">
      <c r="A11" t="inlineStr">
        <is>
          <t>Buzzer, LEDs (rare)</t>
        </is>
      </c>
      <c r="B11" t="inlineStr">
        <is>
          <t>5 V</t>
        </is>
      </c>
      <c r="C11" t="n">
        <v>5</v>
      </c>
      <c r="D11" t="n">
        <v>5</v>
      </c>
      <c r="E11">
        <f>C11*D11/1000</f>
        <v/>
      </c>
      <c r="F11" t="inlineStr">
        <is>
          <t>Assumption</t>
        </is>
      </c>
    </row>
    <row r="13">
      <c r="A13" t="inlineStr">
        <is>
          <t>Total average power (W)</t>
        </is>
      </c>
      <c r="B13" t="inlineStr"/>
      <c r="C13" t="inlineStr"/>
      <c r="D13" t="inlineStr"/>
      <c r="E13">
        <f>SUM(E3:E11)</f>
        <v/>
      </c>
    </row>
    <row r="14">
      <c r="A14" t="inlineStr">
        <is>
          <t>Power bank energy (Wh): 10,000 mAh x 3.7 V</t>
        </is>
      </c>
      <c r="B14" t="inlineStr"/>
      <c r="C14" t="inlineStr"/>
      <c r="D14" t="inlineStr"/>
      <c r="E14" t="n">
        <v>37</v>
      </c>
    </row>
    <row r="15">
      <c r="A15" t="inlineStr">
        <is>
          <t>Boost / cable efficiency (assumption)</t>
        </is>
      </c>
      <c r="B15" t="inlineStr"/>
      <c r="C15" t="inlineStr"/>
      <c r="D15" t="inlineStr"/>
      <c r="E15" t="n">
        <v>0.85</v>
      </c>
    </row>
    <row r="16">
      <c r="A16" t="inlineStr">
        <is>
          <t>Estimated runtime (h)</t>
        </is>
      </c>
      <c r="B16" t="inlineStr"/>
      <c r="C16" t="inlineStr"/>
      <c r="D16" t="inlineStr"/>
      <c r="E16">
        <f>E14*E15/E13</f>
        <v/>
      </c>
    </row>
    <row r="17">
      <c r="A17" t="inlineStr">
        <is>
          <t>Target</t>
        </is>
      </c>
      <c r="B17" t="inlineStr"/>
      <c r="C17" t="inlineStr"/>
      <c r="D17" t="inlineStr"/>
      <c r="E17" t="inlineStr">
        <is>
          <t>&gt;= 4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2026-10-08T11:55:50Z</dcterms:created>
  <dcterms:modified xmlns:dcterms="http://purl.org/dc/terms/" xmlns:xsi="http://www.w3.org/2001/XMLSchema-instance" xsi:type="dcterms:W3CDTF">2026-10-08T11:55:50Z</dcterms:modified>
</cp:coreProperties>
</file>